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Anudip\LabWork\Excel\"/>
    </mc:Choice>
  </mc:AlternateContent>
  <xr:revisionPtr revIDLastSave="0" documentId="13_ncr:1_{F2A5EB9F-C67F-4913-9BC6-D24B1D97CB35}" xr6:coauthVersionLast="47" xr6:coauthVersionMax="47" xr10:uidLastSave="{00000000-0000-0000-0000-000000000000}"/>
  <bookViews>
    <workbookView xWindow="-108" yWindow="-108" windowWidth="23256" windowHeight="12456" xr2:uid="{80ABBEA9-1E63-4048-B7C6-EC45EF051C61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K3" i="1" a="1"/>
  <c r="K4" i="1" a="1"/>
  <c r="K5" i="1" a="1"/>
  <c r="K6" i="1" a="1"/>
  <c r="K7" i="1" a="1"/>
  <c r="K2" i="1" a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M3" i="1"/>
  <c r="M4" i="1"/>
  <c r="M5" i="1"/>
  <c r="M6" i="1"/>
  <c r="M7" i="1"/>
  <c r="M2" i="1"/>
  <c r="F3" i="1"/>
  <c r="F4" i="1"/>
  <c r="F5" i="1"/>
  <c r="F6" i="1"/>
  <c r="F7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<sst xmlns="http://schemas.openxmlformats.org/spreadsheetml/2006/main" count="33" uniqueCount="31">
  <si>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</si>
  <si>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</si>
  <si>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</si>
  <si>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</si>
  <si>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</si>
  <si>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ProductA</t>
  </si>
  <si>
    <t>ProductB</t>
  </si>
  <si>
    <t>ProductC</t>
  </si>
  <si>
    <t>ProductD</t>
  </si>
  <si>
    <t>ProductE</t>
  </si>
  <si>
    <t>ProductF</t>
  </si>
  <si>
    <t>North</t>
  </si>
  <si>
    <t>South</t>
  </si>
  <si>
    <t>East</t>
  </si>
  <si>
    <t>West</t>
  </si>
  <si>
    <t>Sales Satus</t>
  </si>
  <si>
    <t>Regional  Bonus  Status</t>
  </si>
  <si>
    <t>Commission Rate</t>
  </si>
  <si>
    <t>Bonus Amount</t>
  </si>
  <si>
    <t>Sales Performance</t>
  </si>
  <si>
    <t>Price Tier</t>
  </si>
  <si>
    <t>Year-End Bonus</t>
  </si>
  <si>
    <t>High Performer</t>
  </si>
  <si>
    <t xml:space="preserve">1. Use the IF function to evaluate whether each product met its sales target. </t>
  </si>
  <si>
    <t xml:space="preserve">2. Use the IF function to determine if a product is eligible for a regional bonus. Products in the "North" region with sales over 200 are eligible. </t>
  </si>
  <si>
    <t xml:space="preserve">3. Use nested IF functions to assign a commission rate based on sales. Sales &gt;= 200 get a 10% commission, sales &gt;= 150 get a 7% commission, and others get a 5% commission. </t>
  </si>
  <si>
    <t xml:space="preserve">4. Use the IF function to calculate a bonus amount. If sales met or exceeded the target, the bonus is 10% of the sales; otherwise, it's 5%. </t>
  </si>
  <si>
    <t xml:space="preserve">5. Use the IF function to categorize sales performance as "Excellent" (&gt;=200), "Good" (&gt;=150), or "Needs Improvement" (&lt;150). </t>
  </si>
  <si>
    <t xml:space="preserve">6. Use the IF function to assign a price tier based on the sales value. "High" for sales &gt; 200, "Medium" for sales between 100 and 200, and "Low" for sales &lt; 100. </t>
  </si>
  <si>
    <t xml:space="preserve">7. Use the IF function to calculate the year-end bonus. If sales &gt;= 150 and region is "North", the bonus is $500, otherwise, it's $300. </t>
  </si>
  <si>
    <t xml:space="preserve">8. Use the IF function to mark high performers. A product is a high performer if its sales are in the top 25% of all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</si>
</sst>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1FAD-1DB6-4157-B47F-62A00CFD9CD6}">
  <dimension ref="A1:U20"/>
  <sheetViews>
    <sheetView tabSelected="1" zoomScale="71" workbookViewId="0">
      <selection activeCell="P7" sqref="P7"/>
    </sheetView>
  </sheetViews>
  <sheetFormatPr defaultRowHeight="14.4" x14ac:dyDescent="0.3"/>
  <cols>
    <col min="1" max="1" width="9.44140625" bestFit="1" customWidth="1"/>
    <col min="2" max="2" width="8.5546875" bestFit="1" customWidth="1"/>
    <col min="3" max="3" width="5.21875" bestFit="1" customWidth="1"/>
    <col min="4" max="4" width="6.33203125" bestFit="1" customWidth="1"/>
    <col min="5" max="5" width="6.77734375" bestFit="1" customWidth="1"/>
    <col min="6" max="6" width="17.44140625" bestFit="1" customWidth="1"/>
    <col min="7" max="7" width="20.6640625" bestFit="1" customWidth="1"/>
    <col min="8" max="8" width="15.5546875" bestFit="1" customWidth="1"/>
    <col min="9" max="9" width="13.6640625" bestFit="1" customWidth="1"/>
    <col min="10" max="10" width="16.6640625" bestFit="1" customWidth="1"/>
    <col min="11" max="11" width="8.6640625" bestFit="1" customWidth="1"/>
    <col min="12" max="12" width="14.33203125" bestFit="1" customWidth="1"/>
    <col min="13" max="13" width="13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17</v>
      </c>
      <c r="I1" s="19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21" x14ac:dyDescent="0.3">
      <c r="A2" s="2">
        <v>101</v>
      </c>
      <c r="B2" s="2" t="s">
        <v>5</v>
      </c>
      <c r="C2" s="2">
        <v>120</v>
      </c>
      <c r="D2" s="2">
        <v>150</v>
      </c>
      <c r="E2" s="2" t="s">
        <v>11</v>
      </c>
      <c r="F2" s="3" t="str">
        <f>IF(C2&gt;=D2,"Target Reached","Target Not Reached")</f>
        <v>Target Not Reached</v>
      </c>
      <c r="G2" s="5" t="str">
        <f>IF(AND(E2="North",C2&gt;200),"Eligible","Not Eligible")</f>
        <v>Not Eligible</v>
      </c>
      <c r="H2" s="7" t="str">
        <f>IF(C2&gt;=200,"10%",IF(C2&gt;=150,"7%","5%"))</f>
        <v>5%</v>
      </c>
      <c r="I2" s="9">
        <f>IF(F2="Target Reached",C2*10%,C2*5%)</f>
        <v>6</v>
      </c>
      <c r="J2" s="11" t="str">
        <f>IF(D2&gt;=200,"Excellent",IF(C2&gt;=150,"Goods","Needs Improvement"))</f>
        <v>Needs Improvement</v>
      </c>
      <c r="K2" s="13" t="str" cm="1">
        <f t="array" ref="K2">_xlfn.IFS(C2&gt;200,"High",C2&gt;=100,"Medium",C2&lt;100,"Low")</f>
        <v>Medium</v>
      </c>
      <c r="L2" s="15" t="str">
        <f>IF(AND(C2&gt;=150,E2="North"),"$500","$300")</f>
        <v>$300</v>
      </c>
      <c r="M2" s="17" t="str">
        <f>IF(C2&gt;=_xlfn.PERCENTILE.INC($C$2:$C$7,75%),"High Performer","Low Performer")</f>
        <v>Low Performer</v>
      </c>
    </row>
    <row r="3" spans="1:21" x14ac:dyDescent="0.3">
      <c r="A3" s="2">
        <v>102</v>
      </c>
      <c r="B3" s="2" t="s">
        <v>6</v>
      </c>
      <c r="C3" s="2">
        <v>150</v>
      </c>
      <c r="D3" s="2">
        <v>140</v>
      </c>
      <c r="E3" s="2" t="s">
        <v>12</v>
      </c>
      <c r="F3" s="3" t="str">
        <f t="shared" ref="F3:F7" si="0">IF(C3&gt;=D3,"Target Reached","Target Not Reached")</f>
        <v>Target Reached</v>
      </c>
      <c r="G3" s="5" t="str">
        <f t="shared" ref="G3:G7" si="1">IF(AND(E3="North",C3&gt;200),"Eligible","Not Eligible")</f>
        <v>Not Eligible</v>
      </c>
      <c r="H3" s="7" t="str">
        <f t="shared" ref="H3:H7" si="2">IF(C3&gt;=200,"10%",IF(C3&gt;=150,"7%","5%"))</f>
        <v>7%</v>
      </c>
      <c r="I3" s="9">
        <f t="shared" ref="I3:I7" si="3">IF(F3="Target Reached",C3*10%,C3*5%)</f>
        <v>15</v>
      </c>
      <c r="J3" s="11" t="str">
        <f t="shared" ref="J3:J7" si="4">IF(D3&gt;=200,"Excellent",IF(C3&gt;=150,"Goods","Needs Improvement"))</f>
        <v>Goods</v>
      </c>
      <c r="K3" s="13" t="str" cm="1">
        <f t="array" ref="K3">_xlfn.IFS(C3&gt;200,"High",C3&gt;=100,"Medium",C3&lt;100,"Low")</f>
        <v>Medium</v>
      </c>
      <c r="L3" s="15" t="str">
        <f t="shared" ref="L3:L7" si="5">IF(AND(C3&gt;=150,E3="North"),"$500","$300")</f>
        <v>$300</v>
      </c>
      <c r="M3" s="17" t="str">
        <f t="shared" ref="M3:M7" si="6">IF(C3&gt;=_xlfn.PERCENTILE.INC($C$2:$C$7,75%),"High Performer","Low Performer")</f>
        <v>Low Performer</v>
      </c>
    </row>
    <row r="4" spans="1:21" x14ac:dyDescent="0.3">
      <c r="A4" s="2">
        <v>103</v>
      </c>
      <c r="B4" s="2" t="s">
        <v>7</v>
      </c>
      <c r="C4" s="2">
        <v>200</v>
      </c>
      <c r="D4" s="2">
        <v>200</v>
      </c>
      <c r="E4" s="2" t="s">
        <v>13</v>
      </c>
      <c r="F4" s="3" t="str">
        <f t="shared" si="0"/>
        <v>Target Reached</v>
      </c>
      <c r="G4" s="5" t="str">
        <f t="shared" si="1"/>
        <v>Not Eligible</v>
      </c>
      <c r="H4" s="7" t="str">
        <f t="shared" si="2"/>
        <v>10%</v>
      </c>
      <c r="I4" s="9">
        <f t="shared" si="3"/>
        <v>20</v>
      </c>
      <c r="J4" s="11" t="str">
        <f t="shared" si="4"/>
        <v>Excellent</v>
      </c>
      <c r="K4" s="13" t="str" cm="1">
        <f t="array" ref="K4">_xlfn.IFS(C4&gt;200,"High",C4&gt;=100,"Medium",C4&lt;100,"Low")</f>
        <v>Medium</v>
      </c>
      <c r="L4" s="15" t="str">
        <f t="shared" si="5"/>
        <v>$300</v>
      </c>
      <c r="M4" s="17" t="str">
        <f t="shared" si="6"/>
        <v>High Performer</v>
      </c>
    </row>
    <row r="5" spans="1:21" x14ac:dyDescent="0.3">
      <c r="A5" s="2">
        <v>104</v>
      </c>
      <c r="B5" s="2" t="s">
        <v>8</v>
      </c>
      <c r="C5" s="2">
        <v>90</v>
      </c>
      <c r="D5" s="2">
        <v>100</v>
      </c>
      <c r="E5" s="2" t="s">
        <v>14</v>
      </c>
      <c r="F5" s="3" t="str">
        <f t="shared" si="0"/>
        <v>Target Not Reached</v>
      </c>
      <c r="G5" s="5" t="str">
        <f t="shared" si="1"/>
        <v>Not Eligible</v>
      </c>
      <c r="H5" s="7" t="str">
        <f t="shared" si="2"/>
        <v>5%</v>
      </c>
      <c r="I5" s="9">
        <f t="shared" si="3"/>
        <v>4.5</v>
      </c>
      <c r="J5" s="11" t="str">
        <f t="shared" si="4"/>
        <v>Needs Improvement</v>
      </c>
      <c r="K5" s="13" t="str" cm="1">
        <f t="array" ref="K5">_xlfn.IFS(C5&gt;200,"High",C5&gt;=100,"Medium",C5&lt;100,"Low")</f>
        <v>Low</v>
      </c>
      <c r="L5" s="15" t="str">
        <f t="shared" si="5"/>
        <v>$300</v>
      </c>
      <c r="M5" s="17" t="str">
        <f t="shared" si="6"/>
        <v>Low Performer</v>
      </c>
    </row>
    <row r="6" spans="1:21" x14ac:dyDescent="0.3">
      <c r="A6" s="2">
        <v>105</v>
      </c>
      <c r="B6" s="2" t="s">
        <v>9</v>
      </c>
      <c r="C6" s="2">
        <v>220</v>
      </c>
      <c r="D6" s="2">
        <v>210</v>
      </c>
      <c r="E6" s="2" t="s">
        <v>11</v>
      </c>
      <c r="F6" s="3" t="str">
        <f t="shared" si="0"/>
        <v>Target Reached</v>
      </c>
      <c r="G6" s="5" t="str">
        <f t="shared" si="1"/>
        <v>Eligible</v>
      </c>
      <c r="H6" s="7" t="str">
        <f t="shared" si="2"/>
        <v>10%</v>
      </c>
      <c r="I6" s="9">
        <f t="shared" si="3"/>
        <v>22</v>
      </c>
      <c r="J6" s="11" t="str">
        <f t="shared" si="4"/>
        <v>Excellent</v>
      </c>
      <c r="K6" s="13" t="str" cm="1">
        <f t="array" ref="K6">_xlfn.IFS(C6&gt;200,"High",C6&gt;=100,"Medium",C6&lt;100,"Low")</f>
        <v>High</v>
      </c>
      <c r="L6" s="15" t="str">
        <f t="shared" si="5"/>
        <v>$500</v>
      </c>
      <c r="M6" s="17" t="str">
        <f t="shared" si="6"/>
        <v>High Performer</v>
      </c>
    </row>
    <row r="7" spans="1:21" x14ac:dyDescent="0.3">
      <c r="A7" s="2">
        <v>106</v>
      </c>
      <c r="B7" s="2" t="s">
        <v>10</v>
      </c>
      <c r="C7" s="2">
        <v>130</v>
      </c>
      <c r="D7" s="2">
        <v>160</v>
      </c>
      <c r="E7" s="2" t="s">
        <v>12</v>
      </c>
      <c r="F7" s="3" t="str">
        <f t="shared" si="0"/>
        <v>Target Not Reached</v>
      </c>
      <c r="G7" s="5" t="str">
        <f t="shared" si="1"/>
        <v>Not Eligible</v>
      </c>
      <c r="H7" s="7" t="str">
        <f t="shared" si="2"/>
        <v>5%</v>
      </c>
      <c r="I7" s="9">
        <f t="shared" si="3"/>
        <v>6.5</v>
      </c>
      <c r="J7" s="11" t="str">
        <f t="shared" si="4"/>
        <v>Needs Improvement</v>
      </c>
      <c r="K7" s="13" t="str" cm="1">
        <f t="array" ref="K7">_xlfn.IFS(C7&gt;200,"High",C7&gt;=100,"Medium",C7&lt;100,"Low")</f>
        <v>Medium</v>
      </c>
      <c r="L7" s="15" t="str">
        <f t="shared" si="5"/>
        <v>$300</v>
      </c>
      <c r="M7" s="17" t="str">
        <f t="shared" si="6"/>
        <v>Low Performer</v>
      </c>
    </row>
    <row r="13" spans="1:21" x14ac:dyDescent="0.3">
      <c r="H13" s="4" t="s">
        <v>23</v>
      </c>
      <c r="I13" s="4"/>
      <c r="J13" s="4"/>
      <c r="K13" s="4"/>
      <c r="L13" s="4"/>
    </row>
    <row r="14" spans="1:21" x14ac:dyDescent="0.3">
      <c r="H14" s="6" t="s">
        <v>24</v>
      </c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21" x14ac:dyDescent="0.3">
      <c r="H15" s="8" t="s">
        <v>25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3">
      <c r="H16" s="10" t="s">
        <v>26</v>
      </c>
      <c r="I16" s="10"/>
      <c r="J16" s="10"/>
      <c r="K16" s="10"/>
      <c r="L16" s="10"/>
      <c r="M16" s="10"/>
      <c r="N16" s="10"/>
      <c r="O16" s="10"/>
      <c r="P16" s="10"/>
      <c r="Q16" s="10"/>
    </row>
    <row r="17" spans="8:19" x14ac:dyDescent="0.3">
      <c r="H17" s="12" t="s">
        <v>27</v>
      </c>
      <c r="I17" s="12"/>
      <c r="J17" s="12"/>
      <c r="K17" s="12"/>
      <c r="L17" s="12"/>
      <c r="M17" s="12"/>
      <c r="N17" s="12"/>
      <c r="O17" s="12"/>
      <c r="P17" s="12"/>
    </row>
    <row r="18" spans="8:19" x14ac:dyDescent="0.3">
      <c r="H18" s="14" t="s">
        <v>28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8:19" x14ac:dyDescent="0.3">
      <c r="H19" s="16" t="s">
        <v>29</v>
      </c>
      <c r="I19" s="16"/>
      <c r="J19" s="16"/>
      <c r="K19" s="16"/>
      <c r="L19" s="16"/>
      <c r="M19" s="16"/>
      <c r="N19" s="16"/>
      <c r="O19" s="16"/>
      <c r="P19" s="16"/>
      <c r="Q19" s="16"/>
    </row>
    <row r="20" spans="8:19" x14ac:dyDescent="0.3">
      <c r="H20" s="18" t="s">
        <v>30</v>
      </c>
      <c r="I20" s="18"/>
      <c r="J20" s="18"/>
      <c r="K20" s="18"/>
      <c r="L20" s="18"/>
      <c r="M20" s="18"/>
      <c r="N20" s="18"/>
      <c r="O20" s="18"/>
      <c r="P20" s="18"/>
    </row>
  </sheetData>
  <mergeCells count="8">
    <mergeCell ref="H19:Q19"/>
    <mergeCell ref="H20:P20"/>
    <mergeCell ref="H13:L13"/>
    <mergeCell ref="H14:R14"/>
    <mergeCell ref="H15:U15"/>
    <mergeCell ref="H16:Q16"/>
    <mergeCell ref="H17:P17"/>
    <mergeCell ref="H18:S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Purkait</dc:creator>
  <cp:lastModifiedBy>Karan Purkait</cp:lastModifiedBy>
  <dcterms:created xsi:type="dcterms:W3CDTF">2026-09-29T18:20:02Z</dcterms:created>
  <dcterms:modified xsi:type="dcterms:W3CDTF">2026-09-30T07:36:50Z</dcterms:modified>
</cp:coreProperties>
</file>